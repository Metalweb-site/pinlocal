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Subscriptions" sheetId="4" state="visible" r:id="rId4"/>
    <sheet xmlns:r="http://schemas.openxmlformats.org/officeDocument/2006/relationships" name="Sources" sheetId="5" state="visible" r:id="rId5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&quot;Rs &quot;#,##0.00"/>
  </numFmts>
  <fonts count="10">
    <font>
      <name val="Calibri"/>
      <family val="2"/>
      <color theme="1"/>
      <sz val="11"/>
      <scheme val="minor"/>
    </font>
    <font>
      <b val="1"/>
      <color rgb="000F172A"/>
      <sz val="18"/>
    </font>
    <font>
      <color rgb="006B7280"/>
      <sz val="10"/>
    </font>
    <font>
      <b val="1"/>
      <color rgb="00FFFFFF"/>
    </font>
    <font>
      <color rgb="001F2937"/>
    </font>
    <font>
      <b val="1"/>
      <color rgb="000F172A"/>
    </font>
    <font>
      <color rgb="006B7280"/>
    </font>
    <font>
      <b val="1"/>
      <color rgb="000F172A"/>
      <sz val="20"/>
    </font>
    <font>
      <color rgb="006B7280"/>
      <sz val="11"/>
    </font>
    <font>
      <b val="1"/>
      <color rgb="001F2937"/>
    </font>
  </fonts>
  <fills count="7">
    <fill>
      <patternFill/>
    </fill>
    <fill>
      <patternFill patternType="gray125"/>
    </fill>
    <fill>
      <patternFill patternType="solid">
        <fgColor rgb="001D4ED8"/>
      </patternFill>
    </fill>
    <fill>
      <patternFill patternType="solid">
        <fgColor rgb="00F8FAFC"/>
      </patternFill>
    </fill>
    <fill>
      <patternFill patternType="solid">
        <fgColor rgb="00FFFFFF"/>
      </patternFill>
    </fill>
    <fill>
      <patternFill patternType="solid">
        <fgColor rgb="00FEF3C7"/>
      </patternFill>
    </fill>
    <fill>
      <patternFill patternType="solid">
        <fgColor rgb="00DBEAFE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0" fillId="0" borderId="1" pivotButton="0" quotePrefix="0" xfId="0"/>
    <xf numFmtId="0" fontId="3" fillId="2" borderId="1" applyAlignment="1" pivotButton="0" quotePrefix="0" xfId="0">
      <alignment horizontal="center"/>
    </xf>
    <xf numFmtId="0" fontId="4" fillId="3" borderId="1" applyAlignment="1" pivotButton="0" quotePrefix="0" xfId="0">
      <alignment vertical="center"/>
    </xf>
    <xf numFmtId="164" fontId="4" fillId="3" borderId="1" applyAlignment="1" pivotButton="0" quotePrefix="0" xfId="0">
      <alignment vertical="center"/>
    </xf>
    <xf numFmtId="165" fontId="4" fillId="3" borderId="1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/>
    </xf>
    <xf numFmtId="164" fontId="4" fillId="4" borderId="1" applyAlignment="1" pivotButton="0" quotePrefix="0" xfId="0">
      <alignment vertical="center"/>
    </xf>
    <xf numFmtId="165" fontId="4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 wrapText="1"/>
    </xf>
    <xf numFmtId="0" fontId="5" fillId="6" borderId="1" applyAlignment="1" pivotButton="0" quotePrefix="0" xfId="0">
      <alignment wrapText="1"/>
    </xf>
    <xf numFmtId="0" fontId="9" fillId="4" borderId="1" applyAlignment="1" pivotButton="0" quotePrefix="0" xfId="0">
      <alignment wrapText="1"/>
    </xf>
    <xf numFmtId="0" fontId="4" fillId="4" borderId="1" applyAlignment="1" pivotButton="0" quotePrefix="0" xfId="0">
      <alignment wrapText="1"/>
    </xf>
    <xf numFmtId="164" fontId="4" fillId="4" borderId="1" applyAlignment="1" pivotButton="0" quotePrefix="0" xfId="0">
      <alignment wrapText="1"/>
    </xf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4" fillId="3" borderId="1" applyAlignment="1" pivotButton="0" quotePrefix="0" xfId="0">
      <alignment vertical="center"/>
    </xf>
    <xf numFmtId="4" fontId="4" fillId="3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164" fontId="4" fillId="4" borderId="1" applyAlignment="1" pivotButton="0" quotePrefix="0" xfId="0">
      <alignment vertical="center"/>
    </xf>
    <xf numFmtId="164" fontId="4" fillId="3" borderId="1" applyAlignment="1" pivotButton="0" quotePrefix="0" xfId="0">
      <alignment vertical="center"/>
    </xf>
    <xf numFmtId="164" fontId="4" fillId="5" borderId="1" applyAlignment="1" pivotButton="0" quotePrefix="0" xfId="0">
      <alignment vertical="center"/>
    </xf>
    <xf numFmtId="0" fontId="5" fillId="0" borderId="1" pivotButton="0" quotePrefix="0" xfId="0"/>
    <xf numFmtId="0" fontId="6" fillId="0" borderId="0" applyAlignment="1" pivotButton="0" quotePrefix="0" xfId="0">
      <alignment wrapText="1"/>
    </xf>
    <xf numFmtId="0" fontId="1" fillId="0" borderId="0" pivotButton="0" quotePrefix="0" xfId="0"/>
    <xf numFmtId="0" fontId="4" fillId="3" borderId="1" pivotButton="0" quotePrefix="0" xfId="0"/>
    <xf numFmtId="164" fontId="4" fillId="3" borderId="1" pivotButton="0" quotePrefix="0" xfId="0"/>
    <xf numFmtId="0" fontId="4" fillId="4" borderId="1" pivotButton="0" quotePrefix="0" xfId="0"/>
    <xf numFmtId="164" fontId="4" fillId="4" borderId="1" pivotButton="0" quotePrefix="0" xfId="0"/>
    <xf numFmtId="164" fontId="4" fillId="5" borderId="1" pivotButton="0" quotePrefix="0" xfId="0"/>
    <xf numFmtId="0" fontId="5" fillId="6" borderId="1" pivotButton="0" quotePrefix="0" xfId="0"/>
    <xf numFmtId="164" fontId="5" fillId="6" borderId="1" pivotButton="0" quotePrefix="0" xfId="0"/>
    <xf numFmtId="165" fontId="5" fillId="6" borderId="1" pivotButton="0" quotePrefix="0" xfId="0"/>
    <xf numFmtId="0" fontId="4" fillId="3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Projected Monthly Budget by Scenario (INR)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'Summary'!E4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'Summary'!$A$5:$A$8</f>
            </numRef>
          </cat>
          <val>
            <numRef>
              <f>'Summary'!$E$5:$E$8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Scenario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16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PinLocal Launch Budget</t>
        </is>
      </c>
    </row>
    <row r="2">
      <c r="A2" s="2" t="inlineStr">
        <is>
          <t>Monthly cost planning workbook for launch, one-city growth, and scale-up.</t>
        </is>
      </c>
    </row>
    <row r="3">
      <c r="A3" s="3" t="n"/>
    </row>
    <row r="4">
      <c r="A4" s="4" t="inlineStr">
        <is>
          <t>Scenario</t>
        </is>
      </c>
      <c r="B4" s="4" t="inlineStr">
        <is>
          <t>Infra USD</t>
        </is>
      </c>
      <c r="C4" s="4" t="inlineStr">
        <is>
          <t>Variable USD</t>
        </is>
      </c>
      <c r="D4" s="4" t="inlineStr">
        <is>
          <t>Total USD</t>
        </is>
      </c>
      <c r="E4" s="4" t="inlineStr">
        <is>
          <t>Total INR</t>
        </is>
      </c>
      <c r="F4" s="4" t="inlineStr">
        <is>
          <t>Launch note</t>
        </is>
      </c>
    </row>
    <row r="5">
      <c r="A5" s="5" t="inlineStr">
        <is>
          <t>Friends Testing</t>
        </is>
      </c>
      <c r="B5" s="6">
        <f>Scenarios!B17</f>
        <v/>
      </c>
      <c r="C5" s="6">
        <f>Scenarios!B18</f>
        <v/>
      </c>
      <c r="D5" s="6">
        <f>Scenarios!B19</f>
        <v/>
      </c>
      <c r="E5" s="7">
        <f>Scenarios!B20</f>
        <v/>
      </c>
      <c r="F5" s="8" t="inlineStr">
        <is>
          <t>Good for testing panels with friends before real public launch.</t>
        </is>
      </c>
    </row>
    <row r="6">
      <c r="A6" s="9" t="inlineStr">
        <is>
          <t>Soft Launch</t>
        </is>
      </c>
      <c r="B6" s="10">
        <f>Scenarios!C17</f>
        <v/>
      </c>
      <c r="C6" s="10">
        <f>Scenarios!C18</f>
        <v/>
      </c>
      <c r="D6" s="10">
        <f>Scenarios!C19</f>
        <v/>
      </c>
      <c r="E6" s="11">
        <f>Scenarios!C20</f>
        <v/>
      </c>
      <c r="F6" s="12" t="inlineStr">
        <is>
          <t>Lowest paid stack that still looks launch-shaped.</t>
        </is>
      </c>
    </row>
    <row r="7">
      <c r="A7" s="5" t="inlineStr">
        <is>
          <t>One City Launch</t>
        </is>
      </c>
      <c r="B7" s="6">
        <f>Scenarios!D17</f>
        <v/>
      </c>
      <c r="C7" s="6">
        <f>Scenarios!D18</f>
        <v/>
      </c>
      <c r="D7" s="6">
        <f>Scenarios!D19</f>
        <v/>
      </c>
      <c r="E7" s="7">
        <f>Scenarios!D20</f>
        <v/>
      </c>
      <c r="F7" s="8" t="inlineStr">
        <is>
          <t>Best recommended production-style starting point.</t>
        </is>
      </c>
    </row>
    <row r="8">
      <c r="A8" s="9" t="inlineStr">
        <is>
          <t>Growth Mode</t>
        </is>
      </c>
      <c r="B8" s="10">
        <f>Scenarios!E17</f>
        <v/>
      </c>
      <c r="C8" s="10">
        <f>Scenarios!E18</f>
        <v/>
      </c>
      <c r="D8" s="10">
        <f>Scenarios!E19</f>
        <v/>
      </c>
      <c r="E8" s="11">
        <f>Scenarios!E20</f>
        <v/>
      </c>
      <c r="F8" s="12" t="inlineStr">
        <is>
          <t>Early scale-up planning, not day-one spend.</t>
        </is>
      </c>
    </row>
    <row r="9">
      <c r="A9" s="3" t="n"/>
    </row>
    <row r="10">
      <c r="A10" s="3" t="n"/>
    </row>
    <row r="11">
      <c r="A11" s="13" t="inlineStr">
        <is>
          <t>What this means</t>
        </is>
      </c>
      <c r="B11" s="13" t="n"/>
      <c r="C11" s="13" t="n"/>
      <c r="D11" s="13" t="n"/>
      <c r="E11" s="13" t="n"/>
      <c r="F11" s="13" t="n"/>
    </row>
    <row r="12">
      <c r="A12" s="14" t="inlineStr">
        <is>
          <t>Current must-pay unlock</t>
        </is>
      </c>
      <c r="B12" s="15" t="inlineStr">
        <is>
          <t>Upstash Fixed 250MB</t>
        </is>
      </c>
      <c r="C12" s="15" t="inlineStr">
        <is>
          <t>$10/mo</t>
        </is>
      </c>
      <c r="D12" s="15" t="inlineStr">
        <is>
          <t>Needed because your free Redis request limit is already exhausted.</t>
        </is>
      </c>
      <c r="E12" s="16" t="n"/>
      <c r="F12" s="15" t="n"/>
    </row>
    <row r="13">
      <c r="A13" s="14" t="inlineStr">
        <is>
          <t>Recommended launch stack</t>
        </is>
      </c>
      <c r="B13" s="15" t="inlineStr">
        <is>
          <t>Frontend Starter + Backend Standard + Upstash Fixed + Postgres 1GB</t>
        </is>
      </c>
      <c r="C13" s="16">
        <f>Scenarios!D19</f>
        <v/>
      </c>
      <c r="D13" s="15" t="inlineStr">
        <is>
          <t>Good balance for launch without overspending too early.</t>
        </is>
      </c>
      <c r="E13" s="15" t="n"/>
      <c r="F13" s="15" t="n"/>
    </row>
    <row r="14">
      <c r="A14" s="14" t="inlineStr">
        <is>
          <t>Biggest unknown</t>
        </is>
      </c>
      <c r="B14" s="15" t="inlineStr">
        <is>
          <t>OTP cost</t>
        </is>
      </c>
      <c r="C14" s="15" t="inlineStr">
        <is>
          <t>Editable</t>
        </is>
      </c>
      <c r="D14" s="15" t="inlineStr">
        <is>
          <t>MSG91 pricing should be filled in once your plan or credit pack is finalized.</t>
        </is>
      </c>
      <c r="E14" s="15" t="n"/>
      <c r="F14" s="15" t="n"/>
    </row>
  </sheetData>
  <mergeCells count="5">
    <mergeCell ref="A2:F2"/>
    <mergeCell ref="D14:F14"/>
    <mergeCell ref="D13:F13"/>
    <mergeCell ref="A1:F1"/>
    <mergeCell ref="D12:F1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2" customWidth="1" min="2" max="2"/>
    <col width="18" customWidth="1" min="3" max="3"/>
    <col width="16" customWidth="1" min="4" max="4"/>
    <col width="52" customWidth="1" min="5" max="5"/>
  </cols>
  <sheetData>
    <row r="1">
      <c r="A1" s="17" t="inlineStr">
        <is>
          <t>PinLocal Launch Budget Assumptions</t>
        </is>
      </c>
    </row>
    <row r="2">
      <c r="A2" s="18" t="inlineStr">
        <is>
          <t>Editable inputs for infra, media, and placeholder market-dependent costs.</t>
        </is>
      </c>
    </row>
    <row r="3">
      <c r="A3" s="3" t="n"/>
    </row>
    <row r="4">
      <c r="A4" s="4" t="inlineStr">
        <is>
          <t>Category</t>
        </is>
      </c>
      <c r="B4" s="4" t="inlineStr">
        <is>
          <t>Item</t>
        </is>
      </c>
      <c r="C4" s="4" t="inlineStr">
        <is>
          <t>Unit</t>
        </is>
      </c>
      <c r="D4" s="4" t="inlineStr">
        <is>
          <t>USD / Value</t>
        </is>
      </c>
      <c r="E4" s="4" t="inlineStr">
        <is>
          <t>Notes</t>
        </is>
      </c>
    </row>
    <row r="5">
      <c r="A5" s="19" t="inlineStr">
        <is>
          <t>FX</t>
        </is>
      </c>
      <c r="B5" s="19" t="inlineStr">
        <is>
          <t>USD to INR</t>
        </is>
      </c>
      <c r="C5" s="19" t="inlineStr">
        <is>
          <t>INR per USD</t>
        </is>
      </c>
      <c r="D5" s="20" t="n">
        <v>84</v>
      </c>
      <c r="E5" s="19" t="inlineStr">
        <is>
          <t>Editable exchange-rate assumption.</t>
        </is>
      </c>
    </row>
    <row r="6">
      <c r="A6" s="21" t="inlineStr">
        <is>
          <t>Render</t>
        </is>
      </c>
      <c r="B6" s="21" t="inlineStr">
        <is>
          <t>Frontend Starter</t>
        </is>
      </c>
      <c r="C6" s="21" t="inlineStr">
        <is>
          <t>USD / month</t>
        </is>
      </c>
      <c r="D6" s="22" t="n">
        <v>7</v>
      </c>
      <c r="E6" s="21" t="inlineStr">
        <is>
          <t>Frontend web service.</t>
        </is>
      </c>
    </row>
    <row r="7">
      <c r="A7" s="19" t="inlineStr">
        <is>
          <t>Render</t>
        </is>
      </c>
      <c r="B7" s="19" t="inlineStr">
        <is>
          <t>Backend Starter</t>
        </is>
      </c>
      <c r="C7" s="19" t="inlineStr">
        <is>
          <t>USD / month</t>
        </is>
      </c>
      <c r="D7" s="23" t="n">
        <v>7</v>
      </c>
      <c r="E7" s="19" t="inlineStr">
        <is>
          <t>Cheapest workable backend for private testing.</t>
        </is>
      </c>
    </row>
    <row r="8">
      <c r="A8" s="21" t="inlineStr">
        <is>
          <t>Render</t>
        </is>
      </c>
      <c r="B8" s="21" t="inlineStr">
        <is>
          <t>Backend Standard</t>
        </is>
      </c>
      <c r="C8" s="21" t="inlineStr">
        <is>
          <t>USD / month</t>
        </is>
      </c>
      <c r="D8" s="22" t="n">
        <v>25</v>
      </c>
      <c r="E8" s="21" t="inlineStr">
        <is>
          <t>Recommended for real city launch with chat and media.</t>
        </is>
      </c>
    </row>
    <row r="9">
      <c r="A9" s="19" t="inlineStr">
        <is>
          <t>Render</t>
        </is>
      </c>
      <c r="B9" s="19" t="inlineStr">
        <is>
          <t>Backend Pro</t>
        </is>
      </c>
      <c r="C9" s="19" t="inlineStr">
        <is>
          <t>USD / month</t>
        </is>
      </c>
      <c r="D9" s="23" t="n">
        <v>85</v>
      </c>
      <c r="E9" s="19" t="inlineStr">
        <is>
          <t>Scale-up option once concurrency and jobs grow.</t>
        </is>
      </c>
    </row>
    <row r="10">
      <c r="A10" s="21" t="inlineStr">
        <is>
          <t>Upstash</t>
        </is>
      </c>
      <c r="B10" s="21" t="inlineStr">
        <is>
          <t>Redis Fixed 250MB</t>
        </is>
      </c>
      <c r="C10" s="21" t="inlineStr">
        <is>
          <t>USD / month</t>
        </is>
      </c>
      <c r="D10" s="22" t="n">
        <v>10</v>
      </c>
      <c r="E10" s="21" t="inlineStr">
        <is>
          <t>Recommended because free tier already hit request limit.</t>
        </is>
      </c>
    </row>
    <row r="11">
      <c r="A11" s="19" t="inlineStr">
        <is>
          <t>Render</t>
        </is>
      </c>
      <c r="B11" s="19" t="inlineStr">
        <is>
          <t>Postgres 256MB</t>
        </is>
      </c>
      <c r="C11" s="19" t="inlineStr">
        <is>
          <t>USD / month</t>
        </is>
      </c>
      <c r="D11" s="23" t="n">
        <v>6</v>
      </c>
      <c r="E11" s="19" t="inlineStr">
        <is>
          <t>Low-end managed DB option.</t>
        </is>
      </c>
    </row>
    <row r="12">
      <c r="A12" s="21" t="inlineStr">
        <is>
          <t>Render</t>
        </is>
      </c>
      <c r="B12" s="21" t="inlineStr">
        <is>
          <t>Postgres 1GB</t>
        </is>
      </c>
      <c r="C12" s="21" t="inlineStr">
        <is>
          <t>USD / month</t>
        </is>
      </c>
      <c r="D12" s="22" t="n">
        <v>19</v>
      </c>
      <c r="E12" s="21" t="inlineStr">
        <is>
          <t>Practical managed DB option for launch.</t>
        </is>
      </c>
    </row>
    <row r="13">
      <c r="A13" s="19" t="inlineStr">
        <is>
          <t>Render</t>
        </is>
      </c>
      <c r="B13" s="19" t="inlineStr">
        <is>
          <t>Postgres 4GB</t>
        </is>
      </c>
      <c r="C13" s="19" t="inlineStr">
        <is>
          <t>USD / month</t>
        </is>
      </c>
      <c r="D13" s="23" t="n">
        <v>75</v>
      </c>
      <c r="E13" s="19" t="inlineStr">
        <is>
          <t>Growth-stage DB option.</t>
        </is>
      </c>
    </row>
    <row r="14">
      <c r="A14" s="21" t="inlineStr">
        <is>
          <t>Cloudflare R2</t>
        </is>
      </c>
      <c r="B14" s="21" t="inlineStr">
        <is>
          <t>Media budget - friends testing</t>
        </is>
      </c>
      <c r="C14" s="21" t="inlineStr">
        <is>
          <t>USD / month</t>
        </is>
      </c>
      <c r="D14" s="22" t="n">
        <v>0</v>
      </c>
      <c r="E14" s="21" t="inlineStr">
        <is>
          <t>R2 is often free at this stage.</t>
        </is>
      </c>
    </row>
    <row r="15">
      <c r="A15" s="19" t="inlineStr">
        <is>
          <t>Cloudflare R2</t>
        </is>
      </c>
      <c r="B15" s="19" t="inlineStr">
        <is>
          <t>Media budget - soft launch</t>
        </is>
      </c>
      <c r="C15" s="19" t="inlineStr">
        <is>
          <t>USD / month</t>
        </is>
      </c>
      <c r="D15" s="23" t="n">
        <v>2</v>
      </c>
      <c r="E15" s="19" t="inlineStr">
        <is>
          <t>Light image/video usage buffer.</t>
        </is>
      </c>
    </row>
    <row r="16">
      <c r="A16" s="21" t="inlineStr">
        <is>
          <t>Cloudflare R2</t>
        </is>
      </c>
      <c r="B16" s="21" t="inlineStr">
        <is>
          <t>Media budget - one city launch</t>
        </is>
      </c>
      <c r="C16" s="21" t="inlineStr">
        <is>
          <t>USD / month</t>
        </is>
      </c>
      <c r="D16" s="22" t="n">
        <v>5</v>
      </c>
      <c r="E16" s="21" t="inlineStr">
        <is>
          <t>Useful planning placeholder.</t>
        </is>
      </c>
    </row>
    <row r="17">
      <c r="A17" s="19" t="inlineStr">
        <is>
          <t>Cloudflare R2</t>
        </is>
      </c>
      <c r="B17" s="19" t="inlineStr">
        <is>
          <t>Media budget - growth mode</t>
        </is>
      </c>
      <c r="C17" s="19" t="inlineStr">
        <is>
          <t>USD / month</t>
        </is>
      </c>
      <c r="D17" s="23" t="n">
        <v>15</v>
      </c>
      <c r="E17" s="19" t="inlineStr">
        <is>
          <t>Higher usage placeholder.</t>
        </is>
      </c>
    </row>
    <row r="18">
      <c r="A18" s="21" t="inlineStr">
        <is>
          <t>OTP</t>
        </is>
      </c>
      <c r="B18" s="21" t="inlineStr">
        <is>
          <t>OTP budget - friends testing</t>
        </is>
      </c>
      <c r="C18" s="21" t="inlineStr">
        <is>
          <t>USD / month</t>
        </is>
      </c>
      <c r="D18" s="24" t="n">
        <v>0</v>
      </c>
      <c r="E18" s="21" t="inlineStr">
        <is>
          <t>Fill after MSG91 plan/credits are finalized.</t>
        </is>
      </c>
    </row>
    <row r="19">
      <c r="A19" s="19" t="inlineStr">
        <is>
          <t>OTP</t>
        </is>
      </c>
      <c r="B19" s="19" t="inlineStr">
        <is>
          <t>OTP budget - soft launch</t>
        </is>
      </c>
      <c r="C19" s="19" t="inlineStr">
        <is>
          <t>USD / month</t>
        </is>
      </c>
      <c r="D19" s="24" t="n">
        <v>0</v>
      </c>
      <c r="E19" s="19" t="inlineStr">
        <is>
          <t>Editable placeholder.</t>
        </is>
      </c>
    </row>
    <row r="20">
      <c r="A20" s="21" t="inlineStr">
        <is>
          <t>OTP</t>
        </is>
      </c>
      <c r="B20" s="21" t="inlineStr">
        <is>
          <t>OTP budget - one city launch</t>
        </is>
      </c>
      <c r="C20" s="21" t="inlineStr">
        <is>
          <t>USD / month</t>
        </is>
      </c>
      <c r="D20" s="24" t="n">
        <v>0</v>
      </c>
      <c r="E20" s="21" t="inlineStr">
        <is>
          <t>Editable placeholder.</t>
        </is>
      </c>
    </row>
    <row r="21">
      <c r="A21" s="19" t="inlineStr">
        <is>
          <t>OTP</t>
        </is>
      </c>
      <c r="B21" s="19" t="inlineStr">
        <is>
          <t>OTP budget - growth mode</t>
        </is>
      </c>
      <c r="C21" s="19" t="inlineStr">
        <is>
          <t>USD / month</t>
        </is>
      </c>
      <c r="D21" s="24" t="n">
        <v>0</v>
      </c>
      <c r="E21" s="19" t="inlineStr">
        <is>
          <t>Editable placeholder.</t>
        </is>
      </c>
    </row>
    <row r="22">
      <c r="A22" s="21" t="inlineStr">
        <is>
          <t>Domain</t>
        </is>
      </c>
      <c r="B22" s="21" t="inlineStr">
        <is>
          <t>Domain monthly budget</t>
        </is>
      </c>
      <c r="C22" s="21" t="inlineStr">
        <is>
          <t>USD / month</t>
        </is>
      </c>
      <c r="D22" s="24" t="n">
        <v>1.5</v>
      </c>
      <c r="E22" s="21" t="inlineStr">
        <is>
          <t>Planning placeholder, verify with registrar.</t>
        </is>
      </c>
    </row>
    <row r="23">
      <c r="A23" s="19" t="inlineStr">
        <is>
          <t>Taxes</t>
        </is>
      </c>
      <c r="B23" s="19" t="inlineStr">
        <is>
          <t>Taxes / GST placeholder</t>
        </is>
      </c>
      <c r="C23" s="19" t="inlineStr">
        <is>
          <t>USD / month</t>
        </is>
      </c>
      <c r="D23" s="24" t="n">
        <v>0</v>
      </c>
      <c r="E23" s="19" t="inlineStr">
        <is>
          <t>Keep zero until exact billing country tax is known.</t>
        </is>
      </c>
    </row>
    <row r="24">
      <c r="A24" s="3" t="n"/>
    </row>
    <row r="25">
      <c r="A25" s="3" t="n"/>
    </row>
    <row r="26">
      <c r="A26" s="25" t="inlineStr">
        <is>
          <t>Planning note</t>
        </is>
      </c>
      <c r="B26" s="26" t="inlineStr">
        <is>
          <t>Totals in this model are strong for infra planning, but OTP and exact domain tax will need one more pass before launch because those are vendor- and region-dependent.</t>
        </is>
      </c>
    </row>
  </sheetData>
  <mergeCells count="3">
    <mergeCell ref="A2:E2"/>
    <mergeCell ref="B26:E26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8" customWidth="1" min="6" max="6"/>
  </cols>
  <sheetData>
    <row r="1">
      <c r="A1" s="27" t="inlineStr">
        <is>
          <t>Launch Scenarios</t>
        </is>
      </c>
    </row>
    <row r="2">
      <c r="A2" s="18" t="inlineStr">
        <is>
          <t>Four planning modes: from testing with friends to broader growth. All totals are formula-driven from the Assumptions tab.</t>
        </is>
      </c>
    </row>
    <row r="3">
      <c r="A3" s="3" t="n"/>
    </row>
    <row r="4">
      <c r="A4" s="4" t="inlineStr">
        <is>
          <t>Cost line</t>
        </is>
      </c>
      <c r="B4" s="4" t="inlineStr">
        <is>
          <t>Friends Testing</t>
        </is>
      </c>
      <c r="C4" s="4" t="inlineStr">
        <is>
          <t>Soft Launch</t>
        </is>
      </c>
      <c r="D4" s="4" t="inlineStr">
        <is>
          <t>One City Launch</t>
        </is>
      </c>
      <c r="E4" s="4" t="inlineStr">
        <is>
          <t>Growth Mode</t>
        </is>
      </c>
    </row>
    <row r="5">
      <c r="A5" s="28" t="inlineStr">
        <is>
          <t>Render frontend Starter</t>
        </is>
      </c>
      <c r="B5" s="29">
        <f>Assumptions!$D$6</f>
        <v/>
      </c>
      <c r="C5" s="29">
        <f>Assumptions!$D$6</f>
        <v/>
      </c>
      <c r="D5" s="29">
        <f>Assumptions!$D$6</f>
        <v/>
      </c>
      <c r="E5" s="29">
        <f>Assumptions!$D$6</f>
        <v/>
      </c>
    </row>
    <row r="6">
      <c r="A6" s="30" t="inlineStr">
        <is>
          <t>Render backend Starter</t>
        </is>
      </c>
      <c r="B6" s="31">
        <f>Assumptions!$D$7</f>
        <v/>
      </c>
      <c r="C6" s="31">
        <f>Assumptions!$D$7</f>
        <v/>
      </c>
      <c r="D6" s="31" t="n">
        <v>0</v>
      </c>
      <c r="E6" s="31" t="n">
        <v>0</v>
      </c>
    </row>
    <row r="7">
      <c r="A7" s="28" t="inlineStr">
        <is>
          <t>Render backend Standard</t>
        </is>
      </c>
      <c r="B7" s="29" t="n">
        <v>0</v>
      </c>
      <c r="C7" s="29" t="n">
        <v>0</v>
      </c>
      <c r="D7" s="29">
        <f>Assumptions!$D$8</f>
        <v/>
      </c>
      <c r="E7" s="29" t="n">
        <v>0</v>
      </c>
    </row>
    <row r="8">
      <c r="A8" s="30" t="inlineStr">
        <is>
          <t>Render backend Pro</t>
        </is>
      </c>
      <c r="B8" s="31" t="n">
        <v>0</v>
      </c>
      <c r="C8" s="31" t="n">
        <v>0</v>
      </c>
      <c r="D8" s="31" t="n">
        <v>0</v>
      </c>
      <c r="E8" s="31">
        <f>Assumptions!$D$9</f>
        <v/>
      </c>
    </row>
    <row r="9">
      <c r="A9" s="28" t="inlineStr">
        <is>
          <t>Upstash Redis Fixed 250MB</t>
        </is>
      </c>
      <c r="B9" s="29">
        <f>Assumptions!$D$10</f>
        <v/>
      </c>
      <c r="C9" s="29">
        <f>Assumptions!$D$10</f>
        <v/>
      </c>
      <c r="D9" s="29">
        <f>Assumptions!$D$10</f>
        <v/>
      </c>
      <c r="E9" s="29">
        <f>Assumptions!$D$10</f>
        <v/>
      </c>
    </row>
    <row r="10">
      <c r="A10" s="30" t="inlineStr">
        <is>
          <t>Render Postgres 256MB</t>
        </is>
      </c>
      <c r="B10" s="31" t="n">
        <v>0</v>
      </c>
      <c r="C10" s="31">
        <f>Assumptions!$D$11</f>
        <v/>
      </c>
      <c r="D10" s="31" t="n">
        <v>0</v>
      </c>
      <c r="E10" s="31" t="n">
        <v>0</v>
      </c>
    </row>
    <row r="11">
      <c r="A11" s="28" t="inlineStr">
        <is>
          <t>Render Postgres 1GB</t>
        </is>
      </c>
      <c r="B11" s="29" t="n">
        <v>0</v>
      </c>
      <c r="C11" s="29" t="n">
        <v>0</v>
      </c>
      <c r="D11" s="29">
        <f>Assumptions!$D$12</f>
        <v/>
      </c>
      <c r="E11" s="29" t="n">
        <v>0</v>
      </c>
    </row>
    <row r="12">
      <c r="A12" s="30" t="inlineStr">
        <is>
          <t>Render Postgres 4GB</t>
        </is>
      </c>
      <c r="B12" s="31" t="n">
        <v>0</v>
      </c>
      <c r="C12" s="31" t="n">
        <v>0</v>
      </c>
      <c r="D12" s="31" t="n">
        <v>0</v>
      </c>
      <c r="E12" s="31">
        <f>Assumptions!$D$13</f>
        <v/>
      </c>
    </row>
    <row r="13">
      <c r="A13" s="28" t="inlineStr">
        <is>
          <t>Cloudflare R2 media budget</t>
        </is>
      </c>
      <c r="B13" s="29">
        <f>Assumptions!$D$14</f>
        <v/>
      </c>
      <c r="C13" s="29">
        <f>Assumptions!$D$15</f>
        <v/>
      </c>
      <c r="D13" s="29">
        <f>Assumptions!$D$16</f>
        <v/>
      </c>
      <c r="E13" s="29">
        <f>Assumptions!$D$17</f>
        <v/>
      </c>
    </row>
    <row r="14">
      <c r="A14" s="30" t="inlineStr">
        <is>
          <t>OTP budget (editable)</t>
        </is>
      </c>
      <c r="B14" s="32">
        <f>Assumptions!$D$18</f>
        <v/>
      </c>
      <c r="C14" s="32">
        <f>Assumptions!$D$19</f>
        <v/>
      </c>
      <c r="D14" s="32">
        <f>Assumptions!$D$20</f>
        <v/>
      </c>
      <c r="E14" s="32">
        <f>Assumptions!$D$21</f>
        <v/>
      </c>
    </row>
    <row r="15">
      <c r="A15" s="28" t="inlineStr">
        <is>
          <t>Domain budget</t>
        </is>
      </c>
      <c r="B15" s="32">
        <f>Assumptions!$D$22</f>
        <v/>
      </c>
      <c r="C15" s="32">
        <f>Assumptions!$D$22</f>
        <v/>
      </c>
      <c r="D15" s="32">
        <f>Assumptions!$D$22</f>
        <v/>
      </c>
      <c r="E15" s="32">
        <f>Assumptions!$D$22</f>
        <v/>
      </c>
    </row>
    <row r="16">
      <c r="A16" s="30" t="inlineStr">
        <is>
          <t>Taxes / GST placeholder</t>
        </is>
      </c>
      <c r="B16" s="32">
        <f>Assumptions!$D$23</f>
        <v/>
      </c>
      <c r="C16" s="32">
        <f>Assumptions!$D$23</f>
        <v/>
      </c>
      <c r="D16" s="32">
        <f>Assumptions!$D$23</f>
        <v/>
      </c>
      <c r="E16" s="32">
        <f>Assumptions!$D$23</f>
        <v/>
      </c>
    </row>
    <row r="17">
      <c r="A17" s="33" t="inlineStr">
        <is>
          <t>Known infra total (USD)</t>
        </is>
      </c>
      <c r="B17" s="34">
        <f>SUM(B5:B13)</f>
        <v/>
      </c>
      <c r="C17" s="34">
        <f>SUM(C5:C13)</f>
        <v/>
      </c>
      <c r="D17" s="34">
        <f>SUM(D5:D13)</f>
        <v/>
      </c>
      <c r="E17" s="34">
        <f>SUM(E5:E13)</f>
        <v/>
      </c>
    </row>
    <row r="18">
      <c r="A18" s="33" t="inlineStr">
        <is>
          <t>Editable / market-dependent total (USD)</t>
        </is>
      </c>
      <c r="B18" s="34">
        <f>SUM(B14:B16)</f>
        <v/>
      </c>
      <c r="C18" s="34">
        <f>SUM(C14:C16)</f>
        <v/>
      </c>
      <c r="D18" s="34">
        <f>SUM(D14:D16)</f>
        <v/>
      </c>
      <c r="E18" s="34">
        <f>SUM(E14:E16)</f>
        <v/>
      </c>
    </row>
    <row r="19">
      <c r="A19" s="33" t="inlineStr">
        <is>
          <t>Projected monthly total (USD)</t>
        </is>
      </c>
      <c r="B19" s="34">
        <f>B17+B18</f>
        <v/>
      </c>
      <c r="C19" s="34">
        <f>C17+C18</f>
        <v/>
      </c>
      <c r="D19" s="34">
        <f>D17+D18</f>
        <v/>
      </c>
      <c r="E19" s="34">
        <f>E17+E18</f>
        <v/>
      </c>
    </row>
    <row r="20">
      <c r="A20" s="33" t="inlineStr">
        <is>
          <t>Projected monthly total (INR)</t>
        </is>
      </c>
      <c r="B20" s="35">
        <f>B19*Assumptions!$D$5</f>
        <v/>
      </c>
      <c r="C20" s="35">
        <f>C19*Assumptions!$D$5</f>
        <v/>
      </c>
      <c r="D20" s="35">
        <f>D19*Assumptions!$D$5</f>
        <v/>
      </c>
      <c r="E20" s="35">
        <f>E19*Assumptions!$D$5</f>
        <v/>
      </c>
    </row>
    <row r="21">
      <c r="A21" s="3" t="n"/>
    </row>
    <row r="22">
      <c r="A22" s="25" t="inlineStr">
        <is>
          <t>Recommended live setup</t>
        </is>
      </c>
      <c r="B22" s="26" t="inlineStr">
        <is>
          <t>For a real city launch, the strongest balance is usually Render Frontend Starter + Render Backend Standard + Upstash Fixed 250MB + Render Postgres 1GB, with OTP finalized separately.</t>
        </is>
      </c>
    </row>
  </sheetData>
  <mergeCells count="3">
    <mergeCell ref="A2:F2"/>
    <mergeCell ref="A1:F1"/>
    <mergeCell ref="B22:F2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30" customWidth="1" min="3" max="3"/>
    <col width="44" customWidth="1" min="4" max="4"/>
  </cols>
  <sheetData>
    <row r="1">
      <c r="A1" s="27" t="inlineStr">
        <is>
          <t>Subscriptions To Buy</t>
        </is>
      </c>
    </row>
    <row r="2">
      <c r="A2" s="18" t="inlineStr">
        <is>
          <t>Clean list of what you need first, what can wait, and why.</t>
        </is>
      </c>
    </row>
    <row r="3">
      <c r="A3" s="3" t="n"/>
    </row>
    <row r="4">
      <c r="A4" s="4" t="inlineStr">
        <is>
          <t>Priority</t>
        </is>
      </c>
      <c r="B4" s="4" t="inlineStr">
        <is>
          <t>Service</t>
        </is>
      </c>
      <c r="C4" s="4" t="inlineStr">
        <is>
          <t>Recommended plan</t>
        </is>
      </c>
      <c r="D4" s="4" t="inlineStr">
        <is>
          <t>Why</t>
        </is>
      </c>
    </row>
    <row r="5">
      <c r="A5" s="36" t="inlineStr">
        <is>
          <t>Buy now</t>
        </is>
      </c>
      <c r="B5" s="36" t="inlineStr">
        <is>
          <t>Upstash Redis</t>
        </is>
      </c>
      <c r="C5" s="36" t="inlineStr">
        <is>
          <t>Fixed 250MB</t>
        </is>
      </c>
      <c r="D5" s="36" t="inlineStr">
        <is>
          <t>Free quota is already exhausted, so Redis is the first paid unlock.</t>
        </is>
      </c>
    </row>
    <row r="6">
      <c r="A6" s="15" t="inlineStr">
        <is>
          <t>Buy now</t>
        </is>
      </c>
      <c r="B6" s="15" t="inlineStr">
        <is>
          <t>Render Frontend</t>
        </is>
      </c>
      <c r="C6" s="15" t="inlineStr">
        <is>
          <t>Starter</t>
        </is>
      </c>
      <c r="D6" s="15" t="inlineStr">
        <is>
          <t>Enough for the website frontend at launch.</t>
        </is>
      </c>
    </row>
    <row r="7">
      <c r="A7" s="36" t="inlineStr">
        <is>
          <t>Buy now</t>
        </is>
      </c>
      <c r="B7" s="36" t="inlineStr">
        <is>
          <t>Render Backend</t>
        </is>
      </c>
      <c r="C7" s="36" t="inlineStr">
        <is>
          <t>Standard</t>
        </is>
      </c>
      <c r="D7" s="36" t="inlineStr">
        <is>
          <t>Safer for chat, uploads, sockets, OTP, and jobs.</t>
        </is>
      </c>
    </row>
    <row r="8">
      <c r="A8" s="15" t="inlineStr">
        <is>
          <t>Buy now / optional</t>
        </is>
      </c>
      <c r="B8" s="15" t="inlineStr">
        <is>
          <t>Managed Postgres</t>
        </is>
      </c>
      <c r="C8" s="15" t="inlineStr">
        <is>
          <t>Render Postgres 1GB</t>
        </is>
      </c>
      <c r="D8" s="15" t="inlineStr">
        <is>
          <t>Use this if you want a cleaner single-vendor launch setup.</t>
        </is>
      </c>
    </row>
    <row r="9">
      <c r="A9" s="36" t="inlineStr">
        <is>
          <t>Later</t>
        </is>
      </c>
      <c r="B9" s="36" t="inlineStr">
        <is>
          <t>Cloudflare R2</t>
        </is>
      </c>
      <c r="C9" s="36" t="inlineStr">
        <is>
          <t>Pay only for usage</t>
        </is>
      </c>
      <c r="D9" s="36" t="inlineStr">
        <is>
          <t>Usually tiny spend at the beginning, but it is the right long-term media layer.</t>
        </is>
      </c>
    </row>
    <row r="10">
      <c r="A10" s="15" t="inlineStr">
        <is>
          <t>Later</t>
        </is>
      </c>
      <c r="B10" s="15" t="inlineStr">
        <is>
          <t>Backend upgrade</t>
        </is>
      </c>
      <c r="C10" s="15" t="inlineStr">
        <is>
          <t>Render Pro</t>
        </is>
      </c>
      <c r="D10" s="15" t="inlineStr">
        <is>
          <t>Only when one-city traffic starts pushing CPU, workers, or concurrency.</t>
        </is>
      </c>
    </row>
    <row r="11">
      <c r="A11" s="36" t="inlineStr">
        <is>
          <t>Later</t>
        </is>
      </c>
      <c r="B11" s="36" t="inlineStr">
        <is>
          <t>Higher DB plan</t>
        </is>
      </c>
      <c r="C11" s="36" t="inlineStr">
        <is>
          <t>Postgres 4GB</t>
        </is>
      </c>
      <c r="D11" s="36" t="inlineStr">
        <is>
          <t>Only when storage, connections, or query load demand it.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8" customWidth="1" min="2" max="2"/>
    <col width="42" customWidth="1" min="3" max="3"/>
  </cols>
  <sheetData>
    <row r="1">
      <c r="A1" s="27" t="inlineStr">
        <is>
          <t>Pricing Sources</t>
        </is>
      </c>
    </row>
    <row r="2">
      <c r="A2" s="18" t="inlineStr">
        <is>
          <t>Official links used or referenced for this planning workbook.</t>
        </is>
      </c>
    </row>
    <row r="3">
      <c r="A3" s="3" t="n"/>
    </row>
    <row r="4">
      <c r="A4" s="4" t="inlineStr">
        <is>
          <t>Vendor</t>
        </is>
      </c>
      <c r="B4" s="4" t="inlineStr">
        <is>
          <t>URL</t>
        </is>
      </c>
      <c r="C4" s="4" t="inlineStr">
        <is>
          <t>Comment</t>
        </is>
      </c>
    </row>
    <row r="5">
      <c r="A5" s="36" t="inlineStr">
        <is>
          <t>Render</t>
        </is>
      </c>
      <c r="B5" s="36" t="inlineStr">
        <is>
          <t>https://render.com/pricing</t>
        </is>
      </c>
      <c r="C5" s="36" t="inlineStr">
        <is>
          <t>Frontend, backend, Postgres pricing references.</t>
        </is>
      </c>
    </row>
    <row r="6">
      <c r="A6" s="15" t="inlineStr">
        <is>
          <t>Upstash</t>
        </is>
      </c>
      <c r="B6" s="15" t="inlineStr">
        <is>
          <t>https://upstash.com/pricing</t>
        </is>
      </c>
      <c r="C6" s="15" t="inlineStr">
        <is>
          <t>Redis fixed plan and free-tier request limit context.</t>
        </is>
      </c>
    </row>
    <row r="7">
      <c r="A7" s="36" t="inlineStr">
        <is>
          <t>Cloudflare R2</t>
        </is>
      </c>
      <c r="B7" s="36" t="inlineStr">
        <is>
          <t>https://developers.cloudflare.com/r2/pricing/</t>
        </is>
      </c>
      <c r="C7" s="36" t="inlineStr">
        <is>
          <t>Usage-based media storage pricing.</t>
        </is>
      </c>
    </row>
    <row r="8">
      <c r="A8" s="15" t="inlineStr">
        <is>
          <t>Supabase</t>
        </is>
      </c>
      <c r="B8" s="15" t="inlineStr">
        <is>
          <t>https://supabase.com/pricing</t>
        </is>
      </c>
      <c r="C8" s="15" t="inlineStr">
        <is>
          <t>Keep as a check if you stay on Supabase instead of moving DB.</t>
        </is>
      </c>
    </row>
    <row r="9">
      <c r="A9" s="36" t="inlineStr">
        <is>
          <t>MSG91 OTP</t>
        </is>
      </c>
      <c r="B9" s="36" t="inlineStr">
        <is>
          <t>https://msg91.com/in/otp</t>
        </is>
      </c>
      <c r="C9" s="36" t="inlineStr">
        <is>
          <t>Use dashboard/sales confirmation for final OTP numbers.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2026-06-16T10:45:19Z</dcterms:created>
  <dcterms:modified xmlns:dcterms="http://purl.org/dc/terms/" xmlns:xsi="http://www.w3.org/2001/XMLSchema-instance" xsi:type="dcterms:W3CDTF">2026-06-16T10:45:19Z</dcterms:modified>
</cp:coreProperties>
</file>